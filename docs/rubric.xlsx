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ints" sheetId="1" state="visible" r:id="rId3"/>
    <sheet name="Types" sheetId="2" state="visible" r:id="rId4"/>
    <sheet name="Settings" sheetId="3" state="visible" r:id="rId5"/>
    <sheet name="Calculator" sheetId="4" state="visible" r:id="rId6"/>
  </sheets>
  <definedNames>
    <definedName function="false" hidden="true" localSheetId="0" name="_xlnm._FilterDatabase" vbProcedure="false">Points!$A$4:$H$46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<sst xmlns="http://schemas.openxmlformats.org/spreadsheetml/2006/main" count="250" uniqueCount="81">
  <si>
    <t xml:space="preserve">Jadid Index - Points Table (v0.3, draft)</t>
  </si>
  <si>
    <t xml:space="preserve">Generated from Types and Settings: points = base x level x result. Export this sheet to seed the database. To add or remove a valid combination, add or delete a row.</t>
  </si>
  <si>
    <t xml:space="preserve">ID</t>
  </si>
  <si>
    <t xml:space="preserve">Category</t>
  </si>
  <si>
    <t xml:space="preserve">Achievement type</t>
  </si>
  <si>
    <t xml:space="preserve">Level</t>
  </si>
  <si>
    <t xml:space="preserve">Result</t>
  </si>
  <si>
    <t xml:space="preserve">Points</t>
  </si>
  <si>
    <t xml:space="preserve">Max per year (category)</t>
  </si>
  <si>
    <t xml:space="preserve">Key (helper)</t>
  </si>
  <si>
    <t xml:space="preserve">Journal article</t>
  </si>
  <si>
    <t xml:space="preserve">University</t>
  </si>
  <si>
    <t xml:space="preserve">Confirmed</t>
  </si>
  <si>
    <t xml:space="preserve">National</t>
  </si>
  <si>
    <t xml:space="preserve">International</t>
  </si>
  <si>
    <t xml:space="preserve">Conference paper or abstract</t>
  </si>
  <si>
    <t xml:space="preserve">Olympiad or academic competition</t>
  </si>
  <si>
    <t xml:space="preserve">Participant</t>
  </si>
  <si>
    <t xml:space="preserve">Finalist</t>
  </si>
  <si>
    <t xml:space="preserve">Winner</t>
  </si>
  <si>
    <t xml:space="preserve">Patent (invention, utility model, industrial design)</t>
  </si>
  <si>
    <t xml:space="preserve">Software or database registration certificate</t>
  </si>
  <si>
    <t xml:space="preserve">Startup project with a working product</t>
  </si>
  <si>
    <t xml:space="preserve">Grant received</t>
  </si>
  <si>
    <t xml:space="preserve">Hackathon</t>
  </si>
  <si>
    <t xml:space="preserve">Volunteering (per certificate)</t>
  </si>
  <si>
    <t xml:space="preserve">Leading a student project or club</t>
  </si>
  <si>
    <t xml:space="preserve">Professional course certificate</t>
  </si>
  <si>
    <t xml:space="preserve">Book challenge (per book)</t>
  </si>
  <si>
    <t xml:space="preserve">Jadid Index - Achievement Types (v0.3, draft)</t>
  </si>
  <si>
    <t xml:space="preserve">Base points are editable (yellow). For a journal article, 'level' means the journal's tier.</t>
  </si>
  <si>
    <t xml:space="preserve">Base points</t>
  </si>
  <si>
    <t xml:space="preserve">Levels used</t>
  </si>
  <si>
    <t xml:space="preserve">Results</t>
  </si>
  <si>
    <t xml:space="preserve">What the reviewer checks</t>
  </si>
  <si>
    <t xml:space="preserve">Scientific</t>
  </si>
  <si>
    <t xml:space="preserve">University, National, International</t>
  </si>
  <si>
    <t xml:space="preserve">DOI or journal page; check the journal's index or list for its tier.</t>
  </si>
  <si>
    <t xml:space="preserve">Programme or proceedings page, or participation certificate.</t>
  </si>
  <si>
    <t xml:space="preserve">Placement</t>
  </si>
  <si>
    <t xml:space="preserve">Official results page; diploma or certificate number.</t>
  </si>
  <si>
    <t xml:space="preserve">Innovation</t>
  </si>
  <si>
    <t xml:space="preserve">National, International</t>
  </si>
  <si>
    <t xml:space="preserve">Patent number in the official registry.</t>
  </si>
  <si>
    <t xml:space="preserve">Certificate number in the official registry.</t>
  </si>
  <si>
    <t xml:space="preserve">Reviewer-confirmed working product; program acceptance letter if any.</t>
  </si>
  <si>
    <t xml:space="preserve">Award letter or the grantor's official page.</t>
  </si>
  <si>
    <t xml:space="preserve">Organizer's results page or certificate.</t>
  </si>
  <si>
    <t xml:space="preserve">Social</t>
  </si>
  <si>
    <t xml:space="preserve">Certificate from the organization.</t>
  </si>
  <si>
    <t xml:space="preserve">University, National</t>
  </si>
  <si>
    <t xml:space="preserve">Confirmation from the university or organization.</t>
  </si>
  <si>
    <t xml:space="preserve">Personal growth</t>
  </si>
  <si>
    <t xml:space="preserve">Certificate number or verification link.</t>
  </si>
  <si>
    <t xml:space="preserve">Short written summary of the book.</t>
  </si>
  <si>
    <t xml:space="preserve">Jadid Index - Settings (v0.3, draft)</t>
  </si>
  <si>
    <t xml:space="preserve">Yellow cells with blue text are editable. Every number here is a placeholder to be confirmed by the mentor/founders.</t>
  </si>
  <si>
    <t xml:space="preserve">Cap per category (points per academic year)</t>
  </si>
  <si>
    <t xml:space="preserve">Applies to every category. Placeholder from the founders' draft.</t>
  </si>
  <si>
    <t xml:space="preserve">Level multipliers</t>
  </si>
  <si>
    <t xml:space="preserve">Multiplier</t>
  </si>
  <si>
    <t xml:space="preserve">What counts</t>
  </si>
  <si>
    <t xml:space="preserve">University or faculty-level event or body; university-level journal or proceedings.</t>
  </si>
  <si>
    <t xml:space="preserve">National organizer or program; national peer-reviewed journal (confirm the current national list with the mentor).</t>
  </si>
  <si>
    <t xml:space="preserve">International organizer or program; internationally indexed journal (Scopus / Web of Science or the field's equivalent).</t>
  </si>
  <si>
    <t xml:space="preserve">Result multipliers</t>
  </si>
  <si>
    <t xml:space="preserve">Took part in a competition, no placement.</t>
  </si>
  <si>
    <t xml:space="preserve">Reached the final round.</t>
  </si>
  <si>
    <t xml:space="preserve">Winner or prize place.</t>
  </si>
  <si>
    <t xml:space="preserve">Used for achievements with no placement: papers, patents, grants, certificates.</t>
  </si>
  <si>
    <t xml:space="preserve">Rules</t>
  </si>
  <si>
    <t xml:space="preserve">1. Points = base points (Types sheet) x level multiplier x result multiplier, rounded to a whole number.</t>
  </si>
  <si>
    <t xml:space="preserve">2. Each submission is scored once. Duplicates (same certificate number or same file) are rejected.</t>
  </si>
  <si>
    <t xml:space="preserve">3. Only the reviewer confirms the type, level and result. A rejection must include a reason.</t>
  </si>
  <si>
    <t xml:space="preserve">4. Points depend on the achievement's date, not the upload date. Achievements from before the current academic year are not counted.</t>
  </si>
  <si>
    <t xml:space="preserve">5. Points per category are capped per academic year (cell B3). The last approved item may be awarded only the remaining points.</t>
  </si>
  <si>
    <t xml:space="preserve">6. Students can appeal by resubmitting with a comment; the reviewer answers within 7 days.</t>
  </si>
  <si>
    <t xml:space="preserve">7. All numbers are placeholders (v0.3) and must be confirmed by the mentor/founders before launch.</t>
  </si>
  <si>
    <t xml:space="preserve">Jadid Index - Points Calculator</t>
  </si>
  <si>
    <t xml:space="preserve">Pick a type, level and result (yellow cells) to see the points. The values below are an example; change them freely.</t>
  </si>
  <si>
    <t xml:space="preserve">Max per year in this category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</si>
</sst>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F9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1</v>
      </c>
      <c r="B5" s="5" t="str">
        <f aca="false">INDEX(Types!$B$5:$B$16,MATCH(C5,Types!$C$5:$C$16,0))</f>
        <v>Scientific</v>
      </c>
      <c r="C5" s="6" t="s">
        <v>10</v>
      </c>
      <c r="D5" s="4" t="s">
        <v>11</v>
      </c>
      <c r="E5" s="4" t="s">
        <v>12</v>
      </c>
      <c r="F5" s="7" t="n">
        <f aca="false">ROUND(INDEX(Types!$D$5:$D$16,MATCH(C5,Types!$C$5:$C$16,0))*INDEX(Settings!$B$7:$B$9,MATCH(D5,Settings!$A$7:$A$9,0))*INDEX(Settings!$B$13:$B$16,MATCH(E5,Settings!$A$13:$A$16,0)),0)</f>
        <v>12</v>
      </c>
      <c r="G5" s="4" t="n">
        <f aca="false">Settings!$B$3</f>
        <v>100</v>
      </c>
      <c r="H5" s="8" t="str">
        <f aca="false">C5&amp;"|"&amp;D5&amp;"|"&amp;E5</f>
        <v>Journal article|University|Confirmed</v>
      </c>
    </row>
    <row r="6" customFormat="false" ht="15" hidden="false" customHeight="false" outlineLevel="0" collapsed="false">
      <c r="A6" s="4" t="n">
        <v>2</v>
      </c>
      <c r="B6" s="5" t="str">
        <f aca="false">INDEX(Types!$B$5:$B$16,MATCH(C6,Types!$C$5:$C$16,0))</f>
        <v>Scientific</v>
      </c>
      <c r="C6" s="6" t="s">
        <v>10</v>
      </c>
      <c r="D6" s="4" t="s">
        <v>13</v>
      </c>
      <c r="E6" s="4" t="s">
        <v>12</v>
      </c>
      <c r="F6" s="7" t="n">
        <f aca="false">ROUND(INDEX(Types!$D$5:$D$16,MATCH(C6,Types!$C$5:$C$16,0))*INDEX(Settings!$B$7:$B$9,MATCH(D6,Settings!$A$7:$A$9,0))*INDEX(Settings!$B$13:$B$16,MATCH(E6,Settings!$A$13:$A$16,0)),0)</f>
        <v>24</v>
      </c>
      <c r="G6" s="4" t="n">
        <f aca="false">Settings!$B$3</f>
        <v>100</v>
      </c>
      <c r="H6" s="8" t="str">
        <f aca="false">C6&amp;"|"&amp;D6&amp;"|"&amp;E6</f>
        <v>Journal article|National|Confirmed</v>
      </c>
    </row>
    <row r="7" customFormat="false" ht="15" hidden="false" customHeight="false" outlineLevel="0" collapsed="false">
      <c r="A7" s="4" t="n">
        <v>3</v>
      </c>
      <c r="B7" s="5" t="str">
        <f aca="false">INDEX(Types!$B$5:$B$16,MATCH(C7,Types!$C$5:$C$16,0))</f>
        <v>Scientific</v>
      </c>
      <c r="C7" s="6" t="s">
        <v>10</v>
      </c>
      <c r="D7" s="4" t="s">
        <v>14</v>
      </c>
      <c r="E7" s="4" t="s">
        <v>12</v>
      </c>
      <c r="F7" s="7" t="n">
        <f aca="false">ROUND(INDEX(Types!$D$5:$D$16,MATCH(C7,Types!$C$5:$C$16,0))*INDEX(Settings!$B$7:$B$9,MATCH(D7,Settings!$A$7:$A$9,0))*INDEX(Settings!$B$13:$B$16,MATCH(E7,Settings!$A$13:$A$16,0)),0)</f>
        <v>48</v>
      </c>
      <c r="G7" s="4" t="n">
        <f aca="false">Settings!$B$3</f>
        <v>100</v>
      </c>
      <c r="H7" s="8" t="str">
        <f aca="false">C7&amp;"|"&amp;D7&amp;"|"&amp;E7</f>
        <v>Journal article|International|Confirmed</v>
      </c>
    </row>
    <row r="8" customFormat="false" ht="15" hidden="false" customHeight="false" outlineLevel="0" collapsed="false">
      <c r="A8" s="4" t="n">
        <v>4</v>
      </c>
      <c r="B8" s="5" t="str">
        <f aca="false">INDEX(Types!$B$5:$B$16,MATCH(C8,Types!$C$5:$C$16,0))</f>
        <v>Scientific</v>
      </c>
      <c r="C8" s="6" t="s">
        <v>15</v>
      </c>
      <c r="D8" s="4" t="s">
        <v>11</v>
      </c>
      <c r="E8" s="4" t="s">
        <v>12</v>
      </c>
      <c r="F8" s="7" t="n">
        <f aca="false">ROUND(INDEX(Types!$D$5:$D$16,MATCH(C8,Types!$C$5:$C$16,0))*INDEX(Settings!$B$7:$B$9,MATCH(D8,Settings!$A$7:$A$9,0))*INDEX(Settings!$B$13:$B$16,MATCH(E8,Settings!$A$13:$A$16,0)),0)</f>
        <v>5</v>
      </c>
      <c r="G8" s="4" t="n">
        <f aca="false">Settings!$B$3</f>
        <v>100</v>
      </c>
      <c r="H8" s="8" t="str">
        <f aca="false">C8&amp;"|"&amp;D8&amp;"|"&amp;E8</f>
        <v>Conference paper or abstract|University|Confirmed</v>
      </c>
    </row>
    <row r="9" customFormat="false" ht="15" hidden="false" customHeight="false" outlineLevel="0" collapsed="false">
      <c r="A9" s="4" t="n">
        <v>5</v>
      </c>
      <c r="B9" s="5" t="str">
        <f aca="false">INDEX(Types!$B$5:$B$16,MATCH(C9,Types!$C$5:$C$16,0))</f>
        <v>Scientific</v>
      </c>
      <c r="C9" s="6" t="s">
        <v>15</v>
      </c>
      <c r="D9" s="4" t="s">
        <v>13</v>
      </c>
      <c r="E9" s="4" t="s">
        <v>12</v>
      </c>
      <c r="F9" s="7" t="n">
        <f aca="false">ROUND(INDEX(Types!$D$5:$D$16,MATCH(C9,Types!$C$5:$C$16,0))*INDEX(Settings!$B$7:$B$9,MATCH(D9,Settings!$A$7:$A$9,0))*INDEX(Settings!$B$13:$B$16,MATCH(E9,Settings!$A$13:$A$16,0)),0)</f>
        <v>10</v>
      </c>
      <c r="G9" s="4" t="n">
        <f aca="false">Settings!$B$3</f>
        <v>100</v>
      </c>
      <c r="H9" s="8" t="str">
        <f aca="false">C9&amp;"|"&amp;D9&amp;"|"&amp;E9</f>
        <v>Conference paper or abstract|National|Confirmed</v>
      </c>
    </row>
    <row r="10" customFormat="false" ht="15" hidden="false" customHeight="false" outlineLevel="0" collapsed="false">
      <c r="A10" s="4" t="n">
        <v>6</v>
      </c>
      <c r="B10" s="5" t="str">
        <f aca="false">INDEX(Types!$B$5:$B$16,MATCH(C10,Types!$C$5:$C$16,0))</f>
        <v>Scientific</v>
      </c>
      <c r="C10" s="6" t="s">
        <v>15</v>
      </c>
      <c r="D10" s="4" t="s">
        <v>14</v>
      </c>
      <c r="E10" s="4" t="s">
        <v>12</v>
      </c>
      <c r="F10" s="7" t="n">
        <f aca="false">ROUND(INDEX(Types!$D$5:$D$16,MATCH(C10,Types!$C$5:$C$16,0))*INDEX(Settings!$B$7:$B$9,MATCH(D10,Settings!$A$7:$A$9,0))*INDEX(Settings!$B$13:$B$16,MATCH(E10,Settings!$A$13:$A$16,0)),0)</f>
        <v>20</v>
      </c>
      <c r="G10" s="4" t="n">
        <f aca="false">Settings!$B$3</f>
        <v>100</v>
      </c>
      <c r="H10" s="8" t="str">
        <f aca="false">C10&amp;"|"&amp;D10&amp;"|"&amp;E10</f>
        <v>Conference paper or abstract|International|Confirmed</v>
      </c>
    </row>
    <row r="11" customFormat="false" ht="15" hidden="false" customHeight="false" outlineLevel="0" collapsed="false">
      <c r="A11" s="4" t="n">
        <v>7</v>
      </c>
      <c r="B11" s="5" t="str">
        <f aca="false">INDEX(Types!$B$5:$B$16,MATCH(C11,Types!$C$5:$C$16,0))</f>
        <v>Scientific</v>
      </c>
      <c r="C11" s="6" t="s">
        <v>16</v>
      </c>
      <c r="D11" s="4" t="s">
        <v>11</v>
      </c>
      <c r="E11" s="4" t="s">
        <v>17</v>
      </c>
      <c r="F11" s="7" t="n">
        <f aca="false">ROUND(INDEX(Types!$D$5:$D$16,MATCH(C11,Types!$C$5:$C$16,0))*INDEX(Settings!$B$7:$B$9,MATCH(D11,Settings!$A$7:$A$9,0))*INDEX(Settings!$B$13:$B$16,MATCH(E11,Settings!$A$13:$A$16,0)),0)</f>
        <v>2</v>
      </c>
      <c r="G11" s="4" t="n">
        <f aca="false">Settings!$B$3</f>
        <v>100</v>
      </c>
      <c r="H11" s="8" t="str">
        <f aca="false">C11&amp;"|"&amp;D11&amp;"|"&amp;E11</f>
        <v>Olympiad or academic competition|University|Participant</v>
      </c>
    </row>
    <row r="12" customFormat="false" ht="15" hidden="false" customHeight="false" outlineLevel="0" collapsed="false">
      <c r="A12" s="4" t="n">
        <v>8</v>
      </c>
      <c r="B12" s="5" t="str">
        <f aca="false">INDEX(Types!$B$5:$B$16,MATCH(C12,Types!$C$5:$C$16,0))</f>
        <v>Scientific</v>
      </c>
      <c r="C12" s="6" t="s">
        <v>16</v>
      </c>
      <c r="D12" s="4" t="s">
        <v>11</v>
      </c>
      <c r="E12" s="4" t="s">
        <v>18</v>
      </c>
      <c r="F12" s="7" t="n">
        <f aca="false">ROUND(INDEX(Types!$D$5:$D$16,MATCH(C12,Types!$C$5:$C$16,0))*INDEX(Settings!$B$7:$B$9,MATCH(D12,Settings!$A$7:$A$9,0))*INDEX(Settings!$B$13:$B$16,MATCH(E12,Settings!$A$13:$A$16,0)),0)</f>
        <v>4</v>
      </c>
      <c r="G12" s="4" t="n">
        <f aca="false">Settings!$B$3</f>
        <v>100</v>
      </c>
      <c r="H12" s="8" t="str">
        <f aca="false">C12&amp;"|"&amp;D12&amp;"|"&amp;E12</f>
        <v>Olympiad or academic competition|University|Finalist</v>
      </c>
    </row>
    <row r="13" customFormat="false" ht="15" hidden="false" customHeight="false" outlineLevel="0" collapsed="false">
      <c r="A13" s="4" t="n">
        <v>9</v>
      </c>
      <c r="B13" s="5" t="str">
        <f aca="false">INDEX(Types!$B$5:$B$16,MATCH(C13,Types!$C$5:$C$16,0))</f>
        <v>Scientific</v>
      </c>
      <c r="C13" s="6" t="s">
        <v>16</v>
      </c>
      <c r="D13" s="4" t="s">
        <v>11</v>
      </c>
      <c r="E13" s="4" t="s">
        <v>19</v>
      </c>
      <c r="F13" s="7" t="n">
        <f aca="false">ROUND(INDEX(Types!$D$5:$D$16,MATCH(C13,Types!$C$5:$C$16,0))*INDEX(Settings!$B$7:$B$9,MATCH(D13,Settings!$A$7:$A$9,0))*INDEX(Settings!$B$13:$B$16,MATCH(E13,Settings!$A$13:$A$16,0)),0)</f>
        <v>8</v>
      </c>
      <c r="G13" s="4" t="n">
        <f aca="false">Settings!$B$3</f>
        <v>100</v>
      </c>
      <c r="H13" s="8" t="str">
        <f aca="false">C13&amp;"|"&amp;D13&amp;"|"&amp;E13</f>
        <v>Olympiad or academic competition|University|Winner</v>
      </c>
    </row>
    <row r="14" customFormat="false" ht="15" hidden="false" customHeight="false" outlineLevel="0" collapsed="false">
      <c r="A14" s="4" t="n">
        <v>10</v>
      </c>
      <c r="B14" s="5" t="str">
        <f aca="false">INDEX(Types!$B$5:$B$16,MATCH(C14,Types!$C$5:$C$16,0))</f>
        <v>Scientific</v>
      </c>
      <c r="C14" s="6" t="s">
        <v>16</v>
      </c>
      <c r="D14" s="4" t="s">
        <v>13</v>
      </c>
      <c r="E14" s="4" t="s">
        <v>17</v>
      </c>
      <c r="F14" s="7" t="n">
        <f aca="false">ROUND(INDEX(Types!$D$5:$D$16,MATCH(C14,Types!$C$5:$C$16,0))*INDEX(Settings!$B$7:$B$9,MATCH(D14,Settings!$A$7:$A$9,0))*INDEX(Settings!$B$13:$B$16,MATCH(E14,Settings!$A$13:$A$16,0)),0)</f>
        <v>4</v>
      </c>
      <c r="G14" s="4" t="n">
        <f aca="false">Settings!$B$3</f>
        <v>100</v>
      </c>
      <c r="H14" s="8" t="str">
        <f aca="false">C14&amp;"|"&amp;D14&amp;"|"&amp;E14</f>
        <v>Olympiad or academic competition|National|Participant</v>
      </c>
    </row>
    <row r="15" customFormat="false" ht="15" hidden="false" customHeight="false" outlineLevel="0" collapsed="false">
      <c r="A15" s="4" t="n">
        <v>11</v>
      </c>
      <c r="B15" s="5" t="str">
        <f aca="false">INDEX(Types!$B$5:$B$16,MATCH(C15,Types!$C$5:$C$16,0))</f>
        <v>Scientific</v>
      </c>
      <c r="C15" s="6" t="s">
        <v>16</v>
      </c>
      <c r="D15" s="4" t="s">
        <v>13</v>
      </c>
      <c r="E15" s="4" t="s">
        <v>18</v>
      </c>
      <c r="F15" s="7" t="n">
        <f aca="false">ROUND(INDEX(Types!$D$5:$D$16,MATCH(C15,Types!$C$5:$C$16,0))*INDEX(Settings!$B$7:$B$9,MATCH(D15,Settings!$A$7:$A$9,0))*INDEX(Settings!$B$13:$B$16,MATCH(E15,Settings!$A$13:$A$16,0)),0)</f>
        <v>8</v>
      </c>
      <c r="G15" s="4" t="n">
        <f aca="false">Settings!$B$3</f>
        <v>100</v>
      </c>
      <c r="H15" s="8" t="str">
        <f aca="false">C15&amp;"|"&amp;D15&amp;"|"&amp;E15</f>
        <v>Olympiad or academic competition|National|Finalist</v>
      </c>
    </row>
    <row r="16" customFormat="false" ht="15" hidden="false" customHeight="false" outlineLevel="0" collapsed="false">
      <c r="A16" s="4" t="n">
        <v>12</v>
      </c>
      <c r="B16" s="5" t="str">
        <f aca="false">INDEX(Types!$B$5:$B$16,MATCH(C16,Types!$C$5:$C$16,0))</f>
        <v>Scientific</v>
      </c>
      <c r="C16" s="6" t="s">
        <v>16</v>
      </c>
      <c r="D16" s="4" t="s">
        <v>13</v>
      </c>
      <c r="E16" s="4" t="s">
        <v>19</v>
      </c>
      <c r="F16" s="7" t="n">
        <f aca="false">ROUND(INDEX(Types!$D$5:$D$16,MATCH(C16,Types!$C$5:$C$16,0))*INDEX(Settings!$B$7:$B$9,MATCH(D16,Settings!$A$7:$A$9,0))*INDEX(Settings!$B$13:$B$16,MATCH(E16,Settings!$A$13:$A$16,0)),0)</f>
        <v>16</v>
      </c>
      <c r="G16" s="4" t="n">
        <f aca="false">Settings!$B$3</f>
        <v>100</v>
      </c>
      <c r="H16" s="8" t="str">
        <f aca="false">C16&amp;"|"&amp;D16&amp;"|"&amp;E16</f>
        <v>Olympiad or academic competition|National|Winner</v>
      </c>
    </row>
    <row r="17" customFormat="false" ht="15" hidden="false" customHeight="false" outlineLevel="0" collapsed="false">
      <c r="A17" s="4" t="n">
        <v>13</v>
      </c>
      <c r="B17" s="5" t="str">
        <f aca="false">INDEX(Types!$B$5:$B$16,MATCH(C17,Types!$C$5:$C$16,0))</f>
        <v>Scientific</v>
      </c>
      <c r="C17" s="6" t="s">
        <v>16</v>
      </c>
      <c r="D17" s="4" t="s">
        <v>14</v>
      </c>
      <c r="E17" s="4" t="s">
        <v>17</v>
      </c>
      <c r="F17" s="7" t="n">
        <f aca="false">ROUND(INDEX(Types!$D$5:$D$16,MATCH(C17,Types!$C$5:$C$16,0))*INDEX(Settings!$B$7:$B$9,MATCH(D17,Settings!$A$7:$A$9,0))*INDEX(Settings!$B$13:$B$16,MATCH(E17,Settings!$A$13:$A$16,0)),0)</f>
        <v>8</v>
      </c>
      <c r="G17" s="4" t="n">
        <f aca="false">Settings!$B$3</f>
        <v>100</v>
      </c>
      <c r="H17" s="8" t="str">
        <f aca="false">C17&amp;"|"&amp;D17&amp;"|"&amp;E17</f>
        <v>Olympiad or academic competition|International|Participant</v>
      </c>
    </row>
    <row r="18" customFormat="false" ht="15" hidden="false" customHeight="false" outlineLevel="0" collapsed="false">
      <c r="A18" s="4" t="n">
        <v>14</v>
      </c>
      <c r="B18" s="5" t="str">
        <f aca="false">INDEX(Types!$B$5:$B$16,MATCH(C18,Types!$C$5:$C$16,0))</f>
        <v>Scientific</v>
      </c>
      <c r="C18" s="6" t="s">
        <v>16</v>
      </c>
      <c r="D18" s="4" t="s">
        <v>14</v>
      </c>
      <c r="E18" s="4" t="s">
        <v>18</v>
      </c>
      <c r="F18" s="7" t="n">
        <f aca="false">ROUND(INDEX(Types!$D$5:$D$16,MATCH(C18,Types!$C$5:$C$16,0))*INDEX(Settings!$B$7:$B$9,MATCH(D18,Settings!$A$7:$A$9,0))*INDEX(Settings!$B$13:$B$16,MATCH(E18,Settings!$A$13:$A$16,0)),0)</f>
        <v>16</v>
      </c>
      <c r="G18" s="4" t="n">
        <f aca="false">Settings!$B$3</f>
        <v>100</v>
      </c>
      <c r="H18" s="8" t="str">
        <f aca="false">C18&amp;"|"&amp;D18&amp;"|"&amp;E18</f>
        <v>Olympiad or academic competition|International|Finalist</v>
      </c>
    </row>
    <row r="19" customFormat="false" ht="15" hidden="false" customHeight="false" outlineLevel="0" collapsed="false">
      <c r="A19" s="4" t="n">
        <v>15</v>
      </c>
      <c r="B19" s="5" t="str">
        <f aca="false">INDEX(Types!$B$5:$B$16,MATCH(C19,Types!$C$5:$C$16,0))</f>
        <v>Scientific</v>
      </c>
      <c r="C19" s="6" t="s">
        <v>16</v>
      </c>
      <c r="D19" s="4" t="s">
        <v>14</v>
      </c>
      <c r="E19" s="4" t="s">
        <v>19</v>
      </c>
      <c r="F19" s="7" t="n">
        <f aca="false">ROUND(INDEX(Types!$D$5:$D$16,MATCH(C19,Types!$C$5:$C$16,0))*INDEX(Settings!$B$7:$B$9,MATCH(D19,Settings!$A$7:$A$9,0))*INDEX(Settings!$B$13:$B$16,MATCH(E19,Settings!$A$13:$A$16,0)),0)</f>
        <v>32</v>
      </c>
      <c r="G19" s="4" t="n">
        <f aca="false">Settings!$B$3</f>
        <v>100</v>
      </c>
      <c r="H19" s="8" t="str">
        <f aca="false">C19&amp;"|"&amp;D19&amp;"|"&amp;E19</f>
        <v>Olympiad or academic competition|International|Winner</v>
      </c>
    </row>
    <row r="20" customFormat="false" ht="15" hidden="false" customHeight="false" outlineLevel="0" collapsed="false">
      <c r="A20" s="4" t="n">
        <v>16</v>
      </c>
      <c r="B20" s="5" t="str">
        <f aca="false">INDEX(Types!$B$5:$B$16,MATCH(C20,Types!$C$5:$C$16,0))</f>
        <v>Innovation</v>
      </c>
      <c r="C20" s="6" t="s">
        <v>20</v>
      </c>
      <c r="D20" s="4" t="s">
        <v>13</v>
      </c>
      <c r="E20" s="4" t="s">
        <v>12</v>
      </c>
      <c r="F20" s="7" t="n">
        <f aca="false">ROUND(INDEX(Types!$D$5:$D$16,MATCH(C20,Types!$C$5:$C$16,0))*INDEX(Settings!$B$7:$B$9,MATCH(D20,Settings!$A$7:$A$9,0))*INDEX(Settings!$B$13:$B$16,MATCH(E20,Settings!$A$13:$A$16,0)),0)</f>
        <v>40</v>
      </c>
      <c r="G20" s="4" t="n">
        <f aca="false">Settings!$B$3</f>
        <v>100</v>
      </c>
      <c r="H20" s="8" t="str">
        <f aca="false">C20&amp;"|"&amp;D20&amp;"|"&amp;E20</f>
        <v>Patent (invention, utility model, industrial design)|National|Confirmed</v>
      </c>
    </row>
    <row r="21" customFormat="false" ht="15" hidden="false" customHeight="false" outlineLevel="0" collapsed="false">
      <c r="A21" s="4" t="n">
        <v>17</v>
      </c>
      <c r="B21" s="5" t="str">
        <f aca="false">INDEX(Types!$B$5:$B$16,MATCH(C21,Types!$C$5:$C$16,0))</f>
        <v>Innovation</v>
      </c>
      <c r="C21" s="6" t="s">
        <v>20</v>
      </c>
      <c r="D21" s="4" t="s">
        <v>14</v>
      </c>
      <c r="E21" s="4" t="s">
        <v>12</v>
      </c>
      <c r="F21" s="7" t="n">
        <f aca="false">ROUND(INDEX(Types!$D$5:$D$16,MATCH(C21,Types!$C$5:$C$16,0))*INDEX(Settings!$B$7:$B$9,MATCH(D21,Settings!$A$7:$A$9,0))*INDEX(Settings!$B$13:$B$16,MATCH(E21,Settings!$A$13:$A$16,0)),0)</f>
        <v>80</v>
      </c>
      <c r="G21" s="4" t="n">
        <f aca="false">Settings!$B$3</f>
        <v>100</v>
      </c>
      <c r="H21" s="8" t="str">
        <f aca="false">C21&amp;"|"&amp;D21&amp;"|"&amp;E21</f>
        <v>Patent (invention, utility model, industrial design)|International|Confirmed</v>
      </c>
    </row>
    <row r="22" customFormat="false" ht="15" hidden="false" customHeight="false" outlineLevel="0" collapsed="false">
      <c r="A22" s="4" t="n">
        <v>18</v>
      </c>
      <c r="B22" s="5" t="str">
        <f aca="false">INDEX(Types!$B$5:$B$16,MATCH(C22,Types!$C$5:$C$16,0))</f>
        <v>Innovation</v>
      </c>
      <c r="C22" s="6" t="s">
        <v>21</v>
      </c>
      <c r="D22" s="4" t="s">
        <v>13</v>
      </c>
      <c r="E22" s="4" t="s">
        <v>12</v>
      </c>
      <c r="F22" s="7" t="n">
        <f aca="false">ROUND(INDEX(Types!$D$5:$D$16,MATCH(C22,Types!$C$5:$C$16,0))*INDEX(Settings!$B$7:$B$9,MATCH(D22,Settings!$A$7:$A$9,0))*INDEX(Settings!$B$13:$B$16,MATCH(E22,Settings!$A$13:$A$16,0)),0)</f>
        <v>16</v>
      </c>
      <c r="G22" s="4" t="n">
        <f aca="false">Settings!$B$3</f>
        <v>100</v>
      </c>
      <c r="H22" s="8" t="str">
        <f aca="false">C22&amp;"|"&amp;D22&amp;"|"&amp;E22</f>
        <v>Software or database registration certificate|National|Confirmed</v>
      </c>
    </row>
    <row r="23" customFormat="false" ht="15" hidden="false" customHeight="false" outlineLevel="0" collapsed="false">
      <c r="A23" s="4" t="n">
        <v>19</v>
      </c>
      <c r="B23" s="5" t="str">
        <f aca="false">INDEX(Types!$B$5:$B$16,MATCH(C23,Types!$C$5:$C$16,0))</f>
        <v>Innovation</v>
      </c>
      <c r="C23" s="6" t="s">
        <v>22</v>
      </c>
      <c r="D23" s="4" t="s">
        <v>11</v>
      </c>
      <c r="E23" s="4" t="s">
        <v>12</v>
      </c>
      <c r="F23" s="7" t="n">
        <f aca="false">ROUND(INDEX(Types!$D$5:$D$16,MATCH(C23,Types!$C$5:$C$16,0))*INDEX(Settings!$B$7:$B$9,MATCH(D23,Settings!$A$7:$A$9,0))*INDEX(Settings!$B$13:$B$16,MATCH(E23,Settings!$A$13:$A$16,0)),0)</f>
        <v>6</v>
      </c>
      <c r="G23" s="4" t="n">
        <f aca="false">Settings!$B$3</f>
        <v>100</v>
      </c>
      <c r="H23" s="8" t="str">
        <f aca="false">C23&amp;"|"&amp;D23&amp;"|"&amp;E23</f>
        <v>Startup project with a working product|University|Confirmed</v>
      </c>
    </row>
    <row r="24" customFormat="false" ht="15" hidden="false" customHeight="false" outlineLevel="0" collapsed="false">
      <c r="A24" s="4" t="n">
        <v>20</v>
      </c>
      <c r="B24" s="5" t="str">
        <f aca="false">INDEX(Types!$B$5:$B$16,MATCH(C24,Types!$C$5:$C$16,0))</f>
        <v>Innovation</v>
      </c>
      <c r="C24" s="6" t="s">
        <v>22</v>
      </c>
      <c r="D24" s="4" t="s">
        <v>13</v>
      </c>
      <c r="E24" s="4" t="s">
        <v>12</v>
      </c>
      <c r="F24" s="7" t="n">
        <f aca="false">ROUND(INDEX(Types!$D$5:$D$16,MATCH(C24,Types!$C$5:$C$16,0))*INDEX(Settings!$B$7:$B$9,MATCH(D24,Settings!$A$7:$A$9,0))*INDEX(Settings!$B$13:$B$16,MATCH(E24,Settings!$A$13:$A$16,0)),0)</f>
        <v>12</v>
      </c>
      <c r="G24" s="4" t="n">
        <f aca="false">Settings!$B$3</f>
        <v>100</v>
      </c>
      <c r="H24" s="8" t="str">
        <f aca="false">C24&amp;"|"&amp;D24&amp;"|"&amp;E24</f>
        <v>Startup project with a working product|National|Confirmed</v>
      </c>
    </row>
    <row r="25" customFormat="false" ht="15" hidden="false" customHeight="false" outlineLevel="0" collapsed="false">
      <c r="A25" s="4" t="n">
        <v>21</v>
      </c>
      <c r="B25" s="5" t="str">
        <f aca="false">INDEX(Types!$B$5:$B$16,MATCH(C25,Types!$C$5:$C$16,0))</f>
        <v>Innovation</v>
      </c>
      <c r="C25" s="6" t="s">
        <v>22</v>
      </c>
      <c r="D25" s="4" t="s">
        <v>14</v>
      </c>
      <c r="E25" s="4" t="s">
        <v>12</v>
      </c>
      <c r="F25" s="7" t="n">
        <f aca="false">ROUND(INDEX(Types!$D$5:$D$16,MATCH(C25,Types!$C$5:$C$16,0))*INDEX(Settings!$B$7:$B$9,MATCH(D25,Settings!$A$7:$A$9,0))*INDEX(Settings!$B$13:$B$16,MATCH(E25,Settings!$A$13:$A$16,0)),0)</f>
        <v>24</v>
      </c>
      <c r="G25" s="4" t="n">
        <f aca="false">Settings!$B$3</f>
        <v>100</v>
      </c>
      <c r="H25" s="8" t="str">
        <f aca="false">C25&amp;"|"&amp;D25&amp;"|"&amp;E25</f>
        <v>Startup project with a working product|International|Confirmed</v>
      </c>
    </row>
    <row r="26" customFormat="false" ht="15" hidden="false" customHeight="false" outlineLevel="0" collapsed="false">
      <c r="A26" s="4" t="n">
        <v>22</v>
      </c>
      <c r="B26" s="5" t="str">
        <f aca="false">INDEX(Types!$B$5:$B$16,MATCH(C26,Types!$C$5:$C$16,0))</f>
        <v>Innovation</v>
      </c>
      <c r="C26" s="6" t="s">
        <v>23</v>
      </c>
      <c r="D26" s="4" t="s">
        <v>11</v>
      </c>
      <c r="E26" s="4" t="s">
        <v>12</v>
      </c>
      <c r="F26" s="7" t="n">
        <f aca="false">ROUND(INDEX(Types!$D$5:$D$16,MATCH(C26,Types!$C$5:$C$16,0))*INDEX(Settings!$B$7:$B$9,MATCH(D26,Settings!$A$7:$A$9,0))*INDEX(Settings!$B$13:$B$16,MATCH(E26,Settings!$A$13:$A$16,0)),0)</f>
        <v>8</v>
      </c>
      <c r="G26" s="4" t="n">
        <f aca="false">Settings!$B$3</f>
        <v>100</v>
      </c>
      <c r="H26" s="8" t="str">
        <f aca="false">C26&amp;"|"&amp;D26&amp;"|"&amp;E26</f>
        <v>Grant received|University|Confirmed</v>
      </c>
    </row>
    <row r="27" customFormat="false" ht="15" hidden="false" customHeight="false" outlineLevel="0" collapsed="false">
      <c r="A27" s="4" t="n">
        <v>23</v>
      </c>
      <c r="B27" s="5" t="str">
        <f aca="false">INDEX(Types!$B$5:$B$16,MATCH(C27,Types!$C$5:$C$16,0))</f>
        <v>Innovation</v>
      </c>
      <c r="C27" s="6" t="s">
        <v>23</v>
      </c>
      <c r="D27" s="4" t="s">
        <v>13</v>
      </c>
      <c r="E27" s="4" t="s">
        <v>12</v>
      </c>
      <c r="F27" s="7" t="n">
        <f aca="false">ROUND(INDEX(Types!$D$5:$D$16,MATCH(C27,Types!$C$5:$C$16,0))*INDEX(Settings!$B$7:$B$9,MATCH(D27,Settings!$A$7:$A$9,0))*INDEX(Settings!$B$13:$B$16,MATCH(E27,Settings!$A$13:$A$16,0)),0)</f>
        <v>16</v>
      </c>
      <c r="G27" s="4" t="n">
        <f aca="false">Settings!$B$3</f>
        <v>100</v>
      </c>
      <c r="H27" s="8" t="str">
        <f aca="false">C27&amp;"|"&amp;D27&amp;"|"&amp;E27</f>
        <v>Grant received|National|Confirmed</v>
      </c>
    </row>
    <row r="28" customFormat="false" ht="15" hidden="false" customHeight="false" outlineLevel="0" collapsed="false">
      <c r="A28" s="4" t="n">
        <v>24</v>
      </c>
      <c r="B28" s="5" t="str">
        <f aca="false">INDEX(Types!$B$5:$B$16,MATCH(C28,Types!$C$5:$C$16,0))</f>
        <v>Innovation</v>
      </c>
      <c r="C28" s="6" t="s">
        <v>23</v>
      </c>
      <c r="D28" s="4" t="s">
        <v>14</v>
      </c>
      <c r="E28" s="4" t="s">
        <v>12</v>
      </c>
      <c r="F28" s="7" t="n">
        <f aca="false">ROUND(INDEX(Types!$D$5:$D$16,MATCH(C28,Types!$C$5:$C$16,0))*INDEX(Settings!$B$7:$B$9,MATCH(D28,Settings!$A$7:$A$9,0))*INDEX(Settings!$B$13:$B$16,MATCH(E28,Settings!$A$13:$A$16,0)),0)</f>
        <v>32</v>
      </c>
      <c r="G28" s="4" t="n">
        <f aca="false">Settings!$B$3</f>
        <v>100</v>
      </c>
      <c r="H28" s="8" t="str">
        <f aca="false">C28&amp;"|"&amp;D28&amp;"|"&amp;E28</f>
        <v>Grant received|International|Confirmed</v>
      </c>
    </row>
    <row r="29" customFormat="false" ht="15" hidden="false" customHeight="false" outlineLevel="0" collapsed="false">
      <c r="A29" s="4" t="n">
        <v>25</v>
      </c>
      <c r="B29" s="5" t="str">
        <f aca="false">INDEX(Types!$B$5:$B$16,MATCH(C29,Types!$C$5:$C$16,0))</f>
        <v>Innovation</v>
      </c>
      <c r="C29" s="6" t="s">
        <v>24</v>
      </c>
      <c r="D29" s="4" t="s">
        <v>11</v>
      </c>
      <c r="E29" s="4" t="s">
        <v>17</v>
      </c>
      <c r="F29" s="7" t="n">
        <f aca="false">ROUND(INDEX(Types!$D$5:$D$16,MATCH(C29,Types!$C$5:$C$16,0))*INDEX(Settings!$B$7:$B$9,MATCH(D29,Settings!$A$7:$A$9,0))*INDEX(Settings!$B$13:$B$16,MATCH(E29,Settings!$A$13:$A$16,0)),0)</f>
        <v>2</v>
      </c>
      <c r="G29" s="4" t="n">
        <f aca="false">Settings!$B$3</f>
        <v>100</v>
      </c>
      <c r="H29" s="8" t="str">
        <f aca="false">C29&amp;"|"&amp;D29&amp;"|"&amp;E29</f>
        <v>Hackathon|University|Participant</v>
      </c>
    </row>
    <row r="30" customFormat="false" ht="15" hidden="false" customHeight="false" outlineLevel="0" collapsed="false">
      <c r="A30" s="4" t="n">
        <v>26</v>
      </c>
      <c r="B30" s="5" t="str">
        <f aca="false">INDEX(Types!$B$5:$B$16,MATCH(C30,Types!$C$5:$C$16,0))</f>
        <v>Innovation</v>
      </c>
      <c r="C30" s="6" t="s">
        <v>24</v>
      </c>
      <c r="D30" s="4" t="s">
        <v>11</v>
      </c>
      <c r="E30" s="4" t="s">
        <v>18</v>
      </c>
      <c r="F30" s="7" t="n">
        <f aca="false">ROUND(INDEX(Types!$D$5:$D$16,MATCH(C30,Types!$C$5:$C$16,0))*INDEX(Settings!$B$7:$B$9,MATCH(D30,Settings!$A$7:$A$9,0))*INDEX(Settings!$B$13:$B$16,MATCH(E30,Settings!$A$13:$A$16,0)),0)</f>
        <v>3</v>
      </c>
      <c r="G30" s="4" t="n">
        <f aca="false">Settings!$B$3</f>
        <v>100</v>
      </c>
      <c r="H30" s="8" t="str">
        <f aca="false">C30&amp;"|"&amp;D30&amp;"|"&amp;E30</f>
        <v>Hackathon|University|Finalist</v>
      </c>
    </row>
    <row r="31" customFormat="false" ht="15" hidden="false" customHeight="false" outlineLevel="0" collapsed="false">
      <c r="A31" s="4" t="n">
        <v>27</v>
      </c>
      <c r="B31" s="5" t="str">
        <f aca="false">INDEX(Types!$B$5:$B$16,MATCH(C31,Types!$C$5:$C$16,0))</f>
        <v>Innovation</v>
      </c>
      <c r="C31" s="6" t="s">
        <v>24</v>
      </c>
      <c r="D31" s="4" t="s">
        <v>11</v>
      </c>
      <c r="E31" s="4" t="s">
        <v>19</v>
      </c>
      <c r="F31" s="7" t="n">
        <f aca="false">ROUND(INDEX(Types!$D$5:$D$16,MATCH(C31,Types!$C$5:$C$16,0))*INDEX(Settings!$B$7:$B$9,MATCH(D31,Settings!$A$7:$A$9,0))*INDEX(Settings!$B$13:$B$16,MATCH(E31,Settings!$A$13:$A$16,0)),0)</f>
        <v>6</v>
      </c>
      <c r="G31" s="4" t="n">
        <f aca="false">Settings!$B$3</f>
        <v>100</v>
      </c>
      <c r="H31" s="8" t="str">
        <f aca="false">C31&amp;"|"&amp;D31&amp;"|"&amp;E31</f>
        <v>Hackathon|University|Winner</v>
      </c>
    </row>
    <row r="32" customFormat="false" ht="15" hidden="false" customHeight="false" outlineLevel="0" collapsed="false">
      <c r="A32" s="4" t="n">
        <v>28</v>
      </c>
      <c r="B32" s="5" t="str">
        <f aca="false">INDEX(Types!$B$5:$B$16,MATCH(C32,Types!$C$5:$C$16,0))</f>
        <v>Innovation</v>
      </c>
      <c r="C32" s="6" t="s">
        <v>24</v>
      </c>
      <c r="D32" s="4" t="s">
        <v>13</v>
      </c>
      <c r="E32" s="4" t="s">
        <v>17</v>
      </c>
      <c r="F32" s="7" t="n">
        <f aca="false">ROUND(INDEX(Types!$D$5:$D$16,MATCH(C32,Types!$C$5:$C$16,0))*INDEX(Settings!$B$7:$B$9,MATCH(D32,Settings!$A$7:$A$9,0))*INDEX(Settings!$B$13:$B$16,MATCH(E32,Settings!$A$13:$A$16,0)),0)</f>
        <v>3</v>
      </c>
      <c r="G32" s="4" t="n">
        <f aca="false">Settings!$B$3</f>
        <v>100</v>
      </c>
      <c r="H32" s="8" t="str">
        <f aca="false">C32&amp;"|"&amp;D32&amp;"|"&amp;E32</f>
        <v>Hackathon|National|Participant</v>
      </c>
    </row>
    <row r="33" customFormat="false" ht="15" hidden="false" customHeight="false" outlineLevel="0" collapsed="false">
      <c r="A33" s="4" t="n">
        <v>29</v>
      </c>
      <c r="B33" s="5" t="str">
        <f aca="false">INDEX(Types!$B$5:$B$16,MATCH(C33,Types!$C$5:$C$16,0))</f>
        <v>Innovation</v>
      </c>
      <c r="C33" s="6" t="s">
        <v>24</v>
      </c>
      <c r="D33" s="4" t="s">
        <v>13</v>
      </c>
      <c r="E33" s="4" t="s">
        <v>18</v>
      </c>
      <c r="F33" s="7" t="n">
        <f aca="false">ROUND(INDEX(Types!$D$5:$D$16,MATCH(C33,Types!$C$5:$C$16,0))*INDEX(Settings!$B$7:$B$9,MATCH(D33,Settings!$A$7:$A$9,0))*INDEX(Settings!$B$13:$B$16,MATCH(E33,Settings!$A$13:$A$16,0)),0)</f>
        <v>6</v>
      </c>
      <c r="G33" s="4" t="n">
        <f aca="false">Settings!$B$3</f>
        <v>100</v>
      </c>
      <c r="H33" s="8" t="str">
        <f aca="false">C33&amp;"|"&amp;D33&amp;"|"&amp;E33</f>
        <v>Hackathon|National|Finalist</v>
      </c>
    </row>
    <row r="34" customFormat="false" ht="15" hidden="false" customHeight="false" outlineLevel="0" collapsed="false">
      <c r="A34" s="4" t="n">
        <v>30</v>
      </c>
      <c r="B34" s="5" t="str">
        <f aca="false">INDEX(Types!$B$5:$B$16,MATCH(C34,Types!$C$5:$C$16,0))</f>
        <v>Innovation</v>
      </c>
      <c r="C34" s="6" t="s">
        <v>24</v>
      </c>
      <c r="D34" s="4" t="s">
        <v>13</v>
      </c>
      <c r="E34" s="4" t="s">
        <v>19</v>
      </c>
      <c r="F34" s="7" t="n">
        <f aca="false">ROUND(INDEX(Types!$D$5:$D$16,MATCH(C34,Types!$C$5:$C$16,0))*INDEX(Settings!$B$7:$B$9,MATCH(D34,Settings!$A$7:$A$9,0))*INDEX(Settings!$B$13:$B$16,MATCH(E34,Settings!$A$13:$A$16,0)),0)</f>
        <v>12</v>
      </c>
      <c r="G34" s="4" t="n">
        <f aca="false">Settings!$B$3</f>
        <v>100</v>
      </c>
      <c r="H34" s="8" t="str">
        <f aca="false">C34&amp;"|"&amp;D34&amp;"|"&amp;E34</f>
        <v>Hackathon|National|Winner</v>
      </c>
    </row>
    <row r="35" customFormat="false" ht="15" hidden="false" customHeight="false" outlineLevel="0" collapsed="false">
      <c r="A35" s="4" t="n">
        <v>31</v>
      </c>
      <c r="B35" s="5" t="str">
        <f aca="false">INDEX(Types!$B$5:$B$16,MATCH(C35,Types!$C$5:$C$16,0))</f>
        <v>Innovation</v>
      </c>
      <c r="C35" s="6" t="s">
        <v>24</v>
      </c>
      <c r="D35" s="4" t="s">
        <v>14</v>
      </c>
      <c r="E35" s="4" t="s">
        <v>17</v>
      </c>
      <c r="F35" s="7" t="n">
        <f aca="false">ROUND(INDEX(Types!$D$5:$D$16,MATCH(C35,Types!$C$5:$C$16,0))*INDEX(Settings!$B$7:$B$9,MATCH(D35,Settings!$A$7:$A$9,0))*INDEX(Settings!$B$13:$B$16,MATCH(E35,Settings!$A$13:$A$16,0)),0)</f>
        <v>6</v>
      </c>
      <c r="G35" s="4" t="n">
        <f aca="false">Settings!$B$3</f>
        <v>100</v>
      </c>
      <c r="H35" s="8" t="str">
        <f aca="false">C35&amp;"|"&amp;D35&amp;"|"&amp;E35</f>
        <v>Hackathon|International|Participant</v>
      </c>
    </row>
    <row r="36" customFormat="false" ht="15" hidden="false" customHeight="false" outlineLevel="0" collapsed="false">
      <c r="A36" s="4" t="n">
        <v>32</v>
      </c>
      <c r="B36" s="5" t="str">
        <f aca="false">INDEX(Types!$B$5:$B$16,MATCH(C36,Types!$C$5:$C$16,0))</f>
        <v>Innovation</v>
      </c>
      <c r="C36" s="6" t="s">
        <v>24</v>
      </c>
      <c r="D36" s="4" t="s">
        <v>14</v>
      </c>
      <c r="E36" s="4" t="s">
        <v>18</v>
      </c>
      <c r="F36" s="7" t="n">
        <f aca="false">ROUND(INDEX(Types!$D$5:$D$16,MATCH(C36,Types!$C$5:$C$16,0))*INDEX(Settings!$B$7:$B$9,MATCH(D36,Settings!$A$7:$A$9,0))*INDEX(Settings!$B$13:$B$16,MATCH(E36,Settings!$A$13:$A$16,0)),0)</f>
        <v>12</v>
      </c>
      <c r="G36" s="4" t="n">
        <f aca="false">Settings!$B$3</f>
        <v>100</v>
      </c>
      <c r="H36" s="8" t="str">
        <f aca="false">C36&amp;"|"&amp;D36&amp;"|"&amp;E36</f>
        <v>Hackathon|International|Finalist</v>
      </c>
    </row>
    <row r="37" customFormat="false" ht="15" hidden="false" customHeight="false" outlineLevel="0" collapsed="false">
      <c r="A37" s="4" t="n">
        <v>33</v>
      </c>
      <c r="B37" s="5" t="str">
        <f aca="false">INDEX(Types!$B$5:$B$16,MATCH(C37,Types!$C$5:$C$16,0))</f>
        <v>Innovation</v>
      </c>
      <c r="C37" s="6" t="s">
        <v>24</v>
      </c>
      <c r="D37" s="4" t="s">
        <v>14</v>
      </c>
      <c r="E37" s="4" t="s">
        <v>19</v>
      </c>
      <c r="F37" s="7" t="n">
        <f aca="false">ROUND(INDEX(Types!$D$5:$D$16,MATCH(C37,Types!$C$5:$C$16,0))*INDEX(Settings!$B$7:$B$9,MATCH(D37,Settings!$A$7:$A$9,0))*INDEX(Settings!$B$13:$B$16,MATCH(E37,Settings!$A$13:$A$16,0)),0)</f>
        <v>24</v>
      </c>
      <c r="G37" s="4" t="n">
        <f aca="false">Settings!$B$3</f>
        <v>100</v>
      </c>
      <c r="H37" s="8" t="str">
        <f aca="false">C37&amp;"|"&amp;D37&amp;"|"&amp;E37</f>
        <v>Hackathon|International|Winner</v>
      </c>
    </row>
    <row r="38" customFormat="false" ht="15" hidden="false" customHeight="false" outlineLevel="0" collapsed="false">
      <c r="A38" s="4" t="n">
        <v>34</v>
      </c>
      <c r="B38" s="5" t="str">
        <f aca="false">INDEX(Types!$B$5:$B$16,MATCH(C38,Types!$C$5:$C$16,0))</f>
        <v>Social</v>
      </c>
      <c r="C38" s="6" t="s">
        <v>25</v>
      </c>
      <c r="D38" s="4" t="s">
        <v>11</v>
      </c>
      <c r="E38" s="4" t="s">
        <v>12</v>
      </c>
      <c r="F38" s="7" t="n">
        <f aca="false">ROUND(INDEX(Types!$D$5:$D$16,MATCH(C38,Types!$C$5:$C$16,0))*INDEX(Settings!$B$7:$B$9,MATCH(D38,Settings!$A$7:$A$9,0))*INDEX(Settings!$B$13:$B$16,MATCH(E38,Settings!$A$13:$A$16,0)),0)</f>
        <v>2</v>
      </c>
      <c r="G38" s="4" t="n">
        <f aca="false">Settings!$B$3</f>
        <v>100</v>
      </c>
      <c r="H38" s="8" t="str">
        <f aca="false">C38&amp;"|"&amp;D38&amp;"|"&amp;E38</f>
        <v>Volunteering (per certificate)|University|Confirmed</v>
      </c>
    </row>
    <row r="39" customFormat="false" ht="15" hidden="false" customHeight="false" outlineLevel="0" collapsed="false">
      <c r="A39" s="4" t="n">
        <v>35</v>
      </c>
      <c r="B39" s="5" t="str">
        <f aca="false">INDEX(Types!$B$5:$B$16,MATCH(C39,Types!$C$5:$C$16,0))</f>
        <v>Social</v>
      </c>
      <c r="C39" s="6" t="s">
        <v>25</v>
      </c>
      <c r="D39" s="4" t="s">
        <v>13</v>
      </c>
      <c r="E39" s="4" t="s">
        <v>12</v>
      </c>
      <c r="F39" s="7" t="n">
        <f aca="false">ROUND(INDEX(Types!$D$5:$D$16,MATCH(C39,Types!$C$5:$C$16,0))*INDEX(Settings!$B$7:$B$9,MATCH(D39,Settings!$A$7:$A$9,0))*INDEX(Settings!$B$13:$B$16,MATCH(E39,Settings!$A$13:$A$16,0)),0)</f>
        <v>4</v>
      </c>
      <c r="G39" s="4" t="n">
        <f aca="false">Settings!$B$3</f>
        <v>100</v>
      </c>
      <c r="H39" s="8" t="str">
        <f aca="false">C39&amp;"|"&amp;D39&amp;"|"&amp;E39</f>
        <v>Volunteering (per certificate)|National|Confirmed</v>
      </c>
    </row>
    <row r="40" customFormat="false" ht="15" hidden="false" customHeight="false" outlineLevel="0" collapsed="false">
      <c r="A40" s="4" t="n">
        <v>36</v>
      </c>
      <c r="B40" s="5" t="str">
        <f aca="false">INDEX(Types!$B$5:$B$16,MATCH(C40,Types!$C$5:$C$16,0))</f>
        <v>Social</v>
      </c>
      <c r="C40" s="6" t="s">
        <v>25</v>
      </c>
      <c r="D40" s="4" t="s">
        <v>14</v>
      </c>
      <c r="E40" s="4" t="s">
        <v>12</v>
      </c>
      <c r="F40" s="7" t="n">
        <f aca="false">ROUND(INDEX(Types!$D$5:$D$16,MATCH(C40,Types!$C$5:$C$16,0))*INDEX(Settings!$B$7:$B$9,MATCH(D40,Settings!$A$7:$A$9,0))*INDEX(Settings!$B$13:$B$16,MATCH(E40,Settings!$A$13:$A$16,0)),0)</f>
        <v>8</v>
      </c>
      <c r="G40" s="4" t="n">
        <f aca="false">Settings!$B$3</f>
        <v>100</v>
      </c>
      <c r="H40" s="8" t="str">
        <f aca="false">C40&amp;"|"&amp;D40&amp;"|"&amp;E40</f>
        <v>Volunteering (per certificate)|International|Confirmed</v>
      </c>
    </row>
    <row r="41" customFormat="false" ht="15" hidden="false" customHeight="false" outlineLevel="0" collapsed="false">
      <c r="A41" s="4" t="n">
        <v>37</v>
      </c>
      <c r="B41" s="5" t="str">
        <f aca="false">INDEX(Types!$B$5:$B$16,MATCH(C41,Types!$C$5:$C$16,0))</f>
        <v>Social</v>
      </c>
      <c r="C41" s="6" t="s">
        <v>26</v>
      </c>
      <c r="D41" s="4" t="s">
        <v>11</v>
      </c>
      <c r="E41" s="4" t="s">
        <v>12</v>
      </c>
      <c r="F41" s="7" t="n">
        <f aca="false">ROUND(INDEX(Types!$D$5:$D$16,MATCH(C41,Types!$C$5:$C$16,0))*INDEX(Settings!$B$7:$B$9,MATCH(D41,Settings!$A$7:$A$9,0))*INDEX(Settings!$B$13:$B$16,MATCH(E41,Settings!$A$13:$A$16,0)),0)</f>
        <v>5</v>
      </c>
      <c r="G41" s="4" t="n">
        <f aca="false">Settings!$B$3</f>
        <v>100</v>
      </c>
      <c r="H41" s="8" t="str">
        <f aca="false">C41&amp;"|"&amp;D41&amp;"|"&amp;E41</f>
        <v>Leading a student project or club|University|Confirmed</v>
      </c>
    </row>
    <row r="42" customFormat="false" ht="15" hidden="false" customHeight="false" outlineLevel="0" collapsed="false">
      <c r="A42" s="4" t="n">
        <v>38</v>
      </c>
      <c r="B42" s="5" t="str">
        <f aca="false">INDEX(Types!$B$5:$B$16,MATCH(C42,Types!$C$5:$C$16,0))</f>
        <v>Social</v>
      </c>
      <c r="C42" s="6" t="s">
        <v>26</v>
      </c>
      <c r="D42" s="4" t="s">
        <v>13</v>
      </c>
      <c r="E42" s="4" t="s">
        <v>12</v>
      </c>
      <c r="F42" s="7" t="n">
        <f aca="false">ROUND(INDEX(Types!$D$5:$D$16,MATCH(C42,Types!$C$5:$C$16,0))*INDEX(Settings!$B$7:$B$9,MATCH(D42,Settings!$A$7:$A$9,0))*INDEX(Settings!$B$13:$B$16,MATCH(E42,Settings!$A$13:$A$16,0)),0)</f>
        <v>10</v>
      </c>
      <c r="G42" s="4" t="n">
        <f aca="false">Settings!$B$3</f>
        <v>100</v>
      </c>
      <c r="H42" s="8" t="str">
        <f aca="false">C42&amp;"|"&amp;D42&amp;"|"&amp;E42</f>
        <v>Leading a student project or club|National|Confirmed</v>
      </c>
    </row>
    <row r="43" customFormat="false" ht="15" hidden="false" customHeight="false" outlineLevel="0" collapsed="false">
      <c r="A43" s="4" t="n">
        <v>39</v>
      </c>
      <c r="B43" s="5" t="str">
        <f aca="false">INDEX(Types!$B$5:$B$16,MATCH(C43,Types!$C$5:$C$16,0))</f>
        <v>Personal growth</v>
      </c>
      <c r="C43" s="6" t="s">
        <v>27</v>
      </c>
      <c r="D43" s="4" t="s">
        <v>11</v>
      </c>
      <c r="E43" s="4" t="s">
        <v>12</v>
      </c>
      <c r="F43" s="7" t="n">
        <f aca="false">ROUND(INDEX(Types!$D$5:$D$16,MATCH(C43,Types!$C$5:$C$16,0))*INDEX(Settings!$B$7:$B$9,MATCH(D43,Settings!$A$7:$A$9,0))*INDEX(Settings!$B$13:$B$16,MATCH(E43,Settings!$A$13:$A$16,0)),0)</f>
        <v>1</v>
      </c>
      <c r="G43" s="4" t="n">
        <f aca="false">Settings!$B$3</f>
        <v>100</v>
      </c>
      <c r="H43" s="8" t="str">
        <f aca="false">C43&amp;"|"&amp;D43&amp;"|"&amp;E43</f>
        <v>Professional course certificate|University|Confirmed</v>
      </c>
    </row>
    <row r="44" customFormat="false" ht="15" hidden="false" customHeight="false" outlineLevel="0" collapsed="false">
      <c r="A44" s="4" t="n">
        <v>40</v>
      </c>
      <c r="B44" s="5" t="str">
        <f aca="false">INDEX(Types!$B$5:$B$16,MATCH(C44,Types!$C$5:$C$16,0))</f>
        <v>Personal growth</v>
      </c>
      <c r="C44" s="6" t="s">
        <v>27</v>
      </c>
      <c r="D44" s="4" t="s">
        <v>13</v>
      </c>
      <c r="E44" s="4" t="s">
        <v>12</v>
      </c>
      <c r="F44" s="7" t="n">
        <f aca="false">ROUND(INDEX(Types!$D$5:$D$16,MATCH(C44,Types!$C$5:$C$16,0))*INDEX(Settings!$B$7:$B$9,MATCH(D44,Settings!$A$7:$A$9,0))*INDEX(Settings!$B$13:$B$16,MATCH(E44,Settings!$A$13:$A$16,0)),0)</f>
        <v>2</v>
      </c>
      <c r="G44" s="4" t="n">
        <f aca="false">Settings!$B$3</f>
        <v>100</v>
      </c>
      <c r="H44" s="8" t="str">
        <f aca="false">C44&amp;"|"&amp;D44&amp;"|"&amp;E44</f>
        <v>Professional course certificate|National|Confirmed</v>
      </c>
    </row>
    <row r="45" customFormat="false" ht="15" hidden="false" customHeight="false" outlineLevel="0" collapsed="false">
      <c r="A45" s="4" t="n">
        <v>41</v>
      </c>
      <c r="B45" s="5" t="str">
        <f aca="false">INDEX(Types!$B$5:$B$16,MATCH(C45,Types!$C$5:$C$16,0))</f>
        <v>Personal growth</v>
      </c>
      <c r="C45" s="6" t="s">
        <v>27</v>
      </c>
      <c r="D45" s="4" t="s">
        <v>14</v>
      </c>
      <c r="E45" s="4" t="s">
        <v>12</v>
      </c>
      <c r="F45" s="7" t="n">
        <f aca="false">ROUND(INDEX(Types!$D$5:$D$16,MATCH(C45,Types!$C$5:$C$16,0))*INDEX(Settings!$B$7:$B$9,MATCH(D45,Settings!$A$7:$A$9,0))*INDEX(Settings!$B$13:$B$16,MATCH(E45,Settings!$A$13:$A$16,0)),0)</f>
        <v>4</v>
      </c>
      <c r="G45" s="4" t="n">
        <f aca="false">Settings!$B$3</f>
        <v>100</v>
      </c>
      <c r="H45" s="8" t="str">
        <f aca="false">C45&amp;"|"&amp;D45&amp;"|"&amp;E45</f>
        <v>Professional course certificate|International|Confirmed</v>
      </c>
    </row>
    <row r="46" customFormat="false" ht="15" hidden="false" customHeight="false" outlineLevel="0" collapsed="false">
      <c r="A46" s="4" t="n">
        <v>42</v>
      </c>
      <c r="B46" s="5" t="str">
        <f aca="false">INDEX(Types!$B$5:$B$16,MATCH(C46,Types!$C$5:$C$16,0))</f>
        <v>Personal growth</v>
      </c>
      <c r="C46" s="6" t="s">
        <v>28</v>
      </c>
      <c r="D46" s="4" t="s">
        <v>11</v>
      </c>
      <c r="E46" s="4" t="s">
        <v>12</v>
      </c>
      <c r="F46" s="7" t="n">
        <f aca="false">ROUND(INDEX(Types!$D$5:$D$16,MATCH(C46,Types!$C$5:$C$16,0))*INDEX(Settings!$B$7:$B$9,MATCH(D46,Settings!$A$7:$A$9,0))*INDEX(Settings!$B$13:$B$16,MATCH(E46,Settings!$A$13:$A$16,0)),0)</f>
        <v>2</v>
      </c>
      <c r="G46" s="4" t="n">
        <f aca="false">Settings!$B$3</f>
        <v>100</v>
      </c>
      <c r="H46" s="8" t="str">
        <f aca="false">C46&amp;"|"&amp;D46&amp;"|"&amp;E46</f>
        <v>Book challenge (per book)|University|Confirmed</v>
      </c>
    </row>
  </sheetData>
  <autoFilter ref="A4:H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31</v>
      </c>
      <c r="E4" s="3" t="s">
        <v>32</v>
      </c>
      <c r="F4" s="3" t="s">
        <v>33</v>
      </c>
      <c r="G4" s="3" t="s">
        <v>34</v>
      </c>
    </row>
    <row r="5" customFormat="false" ht="15" hidden="false" customHeight="false" outlineLevel="0" collapsed="false">
      <c r="A5" s="4" t="n">
        <v>1</v>
      </c>
      <c r="B5" s="5" t="s">
        <v>35</v>
      </c>
      <c r="C5" s="6" t="s">
        <v>10</v>
      </c>
      <c r="D5" s="9" t="n">
        <v>12</v>
      </c>
      <c r="E5" s="6" t="s">
        <v>36</v>
      </c>
      <c r="F5" s="4" t="s">
        <v>12</v>
      </c>
      <c r="G5" s="6" t="s">
        <v>37</v>
      </c>
    </row>
    <row r="6" customFormat="false" ht="15" hidden="false" customHeight="false" outlineLevel="0" collapsed="false">
      <c r="A6" s="4" t="n">
        <v>2</v>
      </c>
      <c r="B6" s="5" t="s">
        <v>35</v>
      </c>
      <c r="C6" s="6" t="s">
        <v>15</v>
      </c>
      <c r="D6" s="9" t="n">
        <v>5</v>
      </c>
      <c r="E6" s="6" t="s">
        <v>36</v>
      </c>
      <c r="F6" s="4" t="s">
        <v>12</v>
      </c>
      <c r="G6" s="6" t="s">
        <v>38</v>
      </c>
    </row>
    <row r="7" customFormat="false" ht="15" hidden="false" customHeight="false" outlineLevel="0" collapsed="false">
      <c r="A7" s="4" t="n">
        <v>3</v>
      </c>
      <c r="B7" s="5" t="s">
        <v>35</v>
      </c>
      <c r="C7" s="6" t="s">
        <v>16</v>
      </c>
      <c r="D7" s="9" t="n">
        <v>4</v>
      </c>
      <c r="E7" s="6" t="s">
        <v>36</v>
      </c>
      <c r="F7" s="4" t="s">
        <v>39</v>
      </c>
      <c r="G7" s="6" t="s">
        <v>40</v>
      </c>
    </row>
    <row r="8" customFormat="false" ht="15" hidden="false" customHeight="false" outlineLevel="0" collapsed="false">
      <c r="A8" s="4" t="n">
        <v>4</v>
      </c>
      <c r="B8" s="5" t="s">
        <v>41</v>
      </c>
      <c r="C8" s="6" t="s">
        <v>20</v>
      </c>
      <c r="D8" s="9" t="n">
        <v>20</v>
      </c>
      <c r="E8" s="6" t="s">
        <v>42</v>
      </c>
      <c r="F8" s="4" t="s">
        <v>12</v>
      </c>
      <c r="G8" s="6" t="s">
        <v>43</v>
      </c>
    </row>
    <row r="9" customFormat="false" ht="15" hidden="false" customHeight="false" outlineLevel="0" collapsed="false">
      <c r="A9" s="4" t="n">
        <v>5</v>
      </c>
      <c r="B9" s="5" t="s">
        <v>41</v>
      </c>
      <c r="C9" s="6" t="s">
        <v>21</v>
      </c>
      <c r="D9" s="9" t="n">
        <v>8</v>
      </c>
      <c r="E9" s="6" t="s">
        <v>13</v>
      </c>
      <c r="F9" s="4" t="s">
        <v>12</v>
      </c>
      <c r="G9" s="6" t="s">
        <v>44</v>
      </c>
    </row>
    <row r="10" customFormat="false" ht="15" hidden="false" customHeight="false" outlineLevel="0" collapsed="false">
      <c r="A10" s="4" t="n">
        <v>6</v>
      </c>
      <c r="B10" s="5" t="s">
        <v>41</v>
      </c>
      <c r="C10" s="6" t="s">
        <v>22</v>
      </c>
      <c r="D10" s="9" t="n">
        <v>6</v>
      </c>
      <c r="E10" s="6" t="s">
        <v>36</v>
      </c>
      <c r="F10" s="4" t="s">
        <v>12</v>
      </c>
      <c r="G10" s="6" t="s">
        <v>45</v>
      </c>
    </row>
    <row r="11" customFormat="false" ht="15" hidden="false" customHeight="false" outlineLevel="0" collapsed="false">
      <c r="A11" s="4" t="n">
        <v>7</v>
      </c>
      <c r="B11" s="5" t="s">
        <v>41</v>
      </c>
      <c r="C11" s="6" t="s">
        <v>23</v>
      </c>
      <c r="D11" s="9" t="n">
        <v>8</v>
      </c>
      <c r="E11" s="6" t="s">
        <v>36</v>
      </c>
      <c r="F11" s="4" t="s">
        <v>12</v>
      </c>
      <c r="G11" s="6" t="s">
        <v>46</v>
      </c>
    </row>
    <row r="12" customFormat="false" ht="15" hidden="false" customHeight="false" outlineLevel="0" collapsed="false">
      <c r="A12" s="4" t="n">
        <v>8</v>
      </c>
      <c r="B12" s="5" t="s">
        <v>41</v>
      </c>
      <c r="C12" s="6" t="s">
        <v>24</v>
      </c>
      <c r="D12" s="9" t="n">
        <v>3</v>
      </c>
      <c r="E12" s="6" t="s">
        <v>36</v>
      </c>
      <c r="F12" s="4" t="s">
        <v>39</v>
      </c>
      <c r="G12" s="6" t="s">
        <v>47</v>
      </c>
    </row>
    <row r="13" customFormat="false" ht="15" hidden="false" customHeight="false" outlineLevel="0" collapsed="false">
      <c r="A13" s="4" t="n">
        <v>9</v>
      </c>
      <c r="B13" s="5" t="s">
        <v>48</v>
      </c>
      <c r="C13" s="6" t="s">
        <v>25</v>
      </c>
      <c r="D13" s="9" t="n">
        <v>2</v>
      </c>
      <c r="E13" s="6" t="s">
        <v>36</v>
      </c>
      <c r="F13" s="4" t="s">
        <v>12</v>
      </c>
      <c r="G13" s="6" t="s">
        <v>49</v>
      </c>
    </row>
    <row r="14" customFormat="false" ht="15" hidden="false" customHeight="false" outlineLevel="0" collapsed="false">
      <c r="A14" s="4" t="n">
        <v>10</v>
      </c>
      <c r="B14" s="5" t="s">
        <v>48</v>
      </c>
      <c r="C14" s="6" t="s">
        <v>26</v>
      </c>
      <c r="D14" s="9" t="n">
        <v>5</v>
      </c>
      <c r="E14" s="6" t="s">
        <v>50</v>
      </c>
      <c r="F14" s="4" t="s">
        <v>12</v>
      </c>
      <c r="G14" s="6" t="s">
        <v>51</v>
      </c>
    </row>
    <row r="15" customFormat="false" ht="15" hidden="false" customHeight="false" outlineLevel="0" collapsed="false">
      <c r="A15" s="4" t="n">
        <v>11</v>
      </c>
      <c r="B15" s="5" t="s">
        <v>52</v>
      </c>
      <c r="C15" s="6" t="s">
        <v>27</v>
      </c>
      <c r="D15" s="9" t="n">
        <v>1</v>
      </c>
      <c r="E15" s="6" t="s">
        <v>36</v>
      </c>
      <c r="F15" s="4" t="s">
        <v>12</v>
      </c>
      <c r="G15" s="6" t="s">
        <v>53</v>
      </c>
    </row>
    <row r="16" customFormat="false" ht="15" hidden="false" customHeight="false" outlineLevel="0" collapsed="false">
      <c r="A16" s="4" t="n">
        <v>12</v>
      </c>
      <c r="B16" s="5" t="s">
        <v>52</v>
      </c>
      <c r="C16" s="6" t="s">
        <v>28</v>
      </c>
      <c r="D16" s="9" t="n">
        <v>2</v>
      </c>
      <c r="E16" s="6" t="s">
        <v>11</v>
      </c>
      <c r="F16" s="4" t="s">
        <v>12</v>
      </c>
      <c r="G16" s="6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10" t="s">
        <v>57</v>
      </c>
      <c r="B3" s="9" t="n">
        <v>100</v>
      </c>
      <c r="C3" s="2" t="s">
        <v>58</v>
      </c>
    </row>
    <row r="5" customFormat="false" ht="15" hidden="false" customHeight="false" outlineLevel="0" collapsed="false">
      <c r="A5" s="11" t="s">
        <v>59</v>
      </c>
    </row>
    <row r="6" customFormat="false" ht="31.5" hidden="false" customHeight="true" outlineLevel="0" collapsed="false">
      <c r="A6" s="3" t="s">
        <v>5</v>
      </c>
      <c r="B6" s="3" t="s">
        <v>60</v>
      </c>
      <c r="C6" s="3" t="s">
        <v>61</v>
      </c>
    </row>
    <row r="7" customFormat="false" ht="15" hidden="false" customHeight="false" outlineLevel="0" collapsed="false">
      <c r="A7" s="12" t="s">
        <v>11</v>
      </c>
      <c r="B7" s="9" t="n">
        <v>1</v>
      </c>
      <c r="C7" s="6" t="s">
        <v>62</v>
      </c>
    </row>
    <row r="8" customFormat="false" ht="26.85" hidden="false" customHeight="false" outlineLevel="0" collapsed="false">
      <c r="A8" s="12" t="s">
        <v>13</v>
      </c>
      <c r="B8" s="9" t="n">
        <v>2</v>
      </c>
      <c r="C8" s="6" t="s">
        <v>63</v>
      </c>
    </row>
    <row r="9" customFormat="false" ht="26.85" hidden="false" customHeight="false" outlineLevel="0" collapsed="false">
      <c r="A9" s="12" t="s">
        <v>14</v>
      </c>
      <c r="B9" s="9" t="n">
        <v>4</v>
      </c>
      <c r="C9" s="6" t="s">
        <v>64</v>
      </c>
    </row>
    <row r="11" customFormat="false" ht="15" hidden="false" customHeight="false" outlineLevel="0" collapsed="false">
      <c r="A11" s="11" t="s">
        <v>65</v>
      </c>
    </row>
    <row r="12" customFormat="false" ht="31.5" hidden="false" customHeight="true" outlineLevel="0" collapsed="false">
      <c r="A12" s="3" t="s">
        <v>6</v>
      </c>
      <c r="B12" s="3" t="s">
        <v>60</v>
      </c>
      <c r="C12" s="3" t="s">
        <v>61</v>
      </c>
    </row>
    <row r="13" customFormat="false" ht="15" hidden="false" customHeight="false" outlineLevel="0" collapsed="false">
      <c r="A13" s="12" t="s">
        <v>17</v>
      </c>
      <c r="B13" s="9" t="n">
        <v>0.5</v>
      </c>
      <c r="C13" s="6" t="s">
        <v>66</v>
      </c>
    </row>
    <row r="14" customFormat="false" ht="15" hidden="false" customHeight="false" outlineLevel="0" collapsed="false">
      <c r="A14" s="12" t="s">
        <v>18</v>
      </c>
      <c r="B14" s="9" t="n">
        <v>1</v>
      </c>
      <c r="C14" s="6" t="s">
        <v>67</v>
      </c>
    </row>
    <row r="15" customFormat="false" ht="15" hidden="false" customHeight="false" outlineLevel="0" collapsed="false">
      <c r="A15" s="12" t="s">
        <v>19</v>
      </c>
      <c r="B15" s="9" t="n">
        <v>2</v>
      </c>
      <c r="C15" s="6" t="s">
        <v>68</v>
      </c>
    </row>
    <row r="16" customFormat="false" ht="15" hidden="false" customHeight="false" outlineLevel="0" collapsed="false">
      <c r="A16" s="12" t="s">
        <v>12</v>
      </c>
      <c r="B16" s="9" t="n">
        <v>1</v>
      </c>
      <c r="C16" s="6" t="s">
        <v>69</v>
      </c>
    </row>
    <row r="18" customFormat="false" ht="15" hidden="false" customHeight="false" outlineLevel="0" collapsed="false">
      <c r="A18" s="11" t="s">
        <v>70</v>
      </c>
    </row>
    <row r="19" customFormat="false" ht="15" hidden="false" customHeight="false" outlineLevel="0" collapsed="false">
      <c r="A19" s="13" t="s">
        <v>71</v>
      </c>
    </row>
    <row r="20" customFormat="false" ht="15" hidden="false" customHeight="false" outlineLevel="0" collapsed="false">
      <c r="A20" s="13" t="s">
        <v>72</v>
      </c>
    </row>
    <row r="21" customFormat="false" ht="15" hidden="false" customHeight="false" outlineLevel="0" collapsed="false">
      <c r="A21" s="13" t="s">
        <v>73</v>
      </c>
    </row>
    <row r="22" customFormat="false" ht="15" hidden="false" customHeight="false" outlineLevel="0" collapsed="false">
      <c r="A22" s="13" t="s">
        <v>74</v>
      </c>
    </row>
    <row r="23" customFormat="false" ht="15" hidden="false" customHeight="false" outlineLevel="0" collapsed="false">
      <c r="A23" s="13" t="s">
        <v>75</v>
      </c>
    </row>
    <row r="24" customFormat="false" ht="15" hidden="false" customHeight="false" outlineLevel="0" collapsed="false">
      <c r="A24" s="13" t="s">
        <v>76</v>
      </c>
    </row>
    <row r="25" customFormat="false" ht="15" hidden="false" customHeight="false" outlineLevel="0" collapsed="false">
      <c r="A25" s="13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3" customFormat="false" ht="15" hidden="false" customHeight="false" outlineLevel="0" collapsed="false">
      <c r="A3" s="10" t="s">
        <v>4</v>
      </c>
      <c r="B3" s="14" t="s">
        <v>16</v>
      </c>
    </row>
    <row r="4" customFormat="false" ht="15" hidden="false" customHeight="false" outlineLevel="0" collapsed="false">
      <c r="A4" s="10" t="s">
        <v>5</v>
      </c>
      <c r="B4" s="14" t="s">
        <v>13</v>
      </c>
    </row>
    <row r="5" customFormat="false" ht="15" hidden="false" customHeight="false" outlineLevel="0" collapsed="false">
      <c r="A5" s="10" t="s">
        <v>6</v>
      </c>
      <c r="B5" s="14" t="s">
        <v>19</v>
      </c>
    </row>
    <row r="7" customFormat="false" ht="15" hidden="false" customHeight="false" outlineLevel="0" collapsed="false">
      <c r="A7" s="10" t="s">
        <v>7</v>
      </c>
      <c r="B7" s="11" t="n">
        <f aca="false">IFERROR(INDEX(Points!$F$5:$F$46,MATCH(B3&amp;"|"&amp;B4&amp;"|"&amp;B5,Points!$H$5:$H$46,0)),"Not a valid combination")</f>
        <v>16</v>
      </c>
    </row>
    <row r="8" customFormat="false" ht="15" hidden="false" customHeight="false" outlineLevel="0" collapsed="false">
      <c r="A8" s="10" t="s">
        <v>3</v>
      </c>
      <c r="B8" s="13" t="str">
        <f aca="false">IFERROR(INDEX(Types!$B$5:$B$16,MATCH(B3,Types!$C$5:$C$16,0)),"")</f>
        <v>Scientific</v>
      </c>
    </row>
    <row r="9" customFormat="false" ht="15" hidden="false" customHeight="false" outlineLevel="0" collapsed="false">
      <c r="A9" s="10" t="s">
        <v>80</v>
      </c>
      <c r="B9" s="13" t="n">
        <f aca="false">Settings!$B$3</f>
        <v>100</v>
      </c>
    </row>
  </sheetData>
  <dataValidations count="3">
    <dataValidation allowBlank="false" errorStyle="stop" operator="between" showDropDown="false" showErrorMessage="false" showInputMessage="false" sqref="B3" type="list">
      <formula1>Types!$C$5:$C$16</formula1>
      <formula2>0</formula2>
    </dataValidation>
    <dataValidation allowBlank="false" errorStyle="stop" operator="between" showDropDown="false" showErrorMessage="false" showInputMessage="false" sqref="B4" type="list">
      <formula1>Settings!$A$7:$A$9</formula1>
      <formula2>0</formula2>
    </dataValidation>
    <dataValidation allowBlank="false" errorStyle="stop" operator="between" showDropDown="false" showErrorMessage="false" showInputMessage="false" sqref="B5" type="list">
      <formula1>Settings!$A$13:$A$16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2026-10-19T18:42:06Z</dcterms:created>
  <dc:creator>openpyxl</dc:creator>
  <dc:description/>
  <dc:language>en-US</dc:language>
  <cp:lastModifiedBy/>
  <dcterms:modified xsi:type="dcterms:W3CDTF">2026-10-19T18:42:06Z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